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éeme" sheetId="1" state="visible" r:id="rId3"/>
    <sheet name="Supuestos" sheetId="2" state="visible" r:id="rId4"/>
    <sheet name="Horas por producto" sheetId="3" state="visible" r:id="rId5"/>
    <sheet name="Bandas de precio" sheetId="4" state="visible" r:id="rId6"/>
    <sheet name="Capacidad" sheetId="5" state="visible" r:id="rId7"/>
    <sheet name="Sensibilidad" sheetId="6" state="visible" r:id="rId8"/>
    <sheet name="Matriz" sheetId="7" state="visible" r:id="rId9"/>
    <sheet name="Validación de mercado"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<sst xmlns="http://schemas.openxmlformats.org/spreadsheetml/2006/main" count="259" uniqueCount="206">
  <si>
    <t xml:space="preserve">Modelo de precios — logistika</t>
  </si>
  <si>
    <t xml:space="preserve">Cómo se usa este libro y qué significa cada color</t>
  </si>
  <si>
    <t xml:space="preserve">QUÉ ES ESTO</t>
  </si>
  <si>
    <t xml:space="preserve">Para qué sirve</t>
  </si>
  <si>
    <t xml:space="preserve">Calcula bandas de precio para los productos de logistika a partir de la capacidad real de Adriana y de su ingreso objetivo. No son precios de mercado: son el piso por debajo del cual el trabajo pierde dinero, y el objetivo que hace que el negocio valga la pena.</t>
  </si>
  <si>
    <t xml:space="preserve">Qué NO es</t>
  </si>
  <si>
    <t xml:space="preserve">No es un estudio de mercado. Nadie ha cotizado a la competencia todavía. Antes de publicar un precio hay que contrastarlo (ver la hoja 'Validación de mercado').</t>
  </si>
  <si>
    <t xml:space="preserve">Moneda</t>
  </si>
  <si>
    <t xml:space="preserve">Todo en pesos mexicanos. La hoja 'Supuestos' tiene el tipo de cambio para cotizar en dólares a clientes extranjeros.</t>
  </si>
  <si>
    <t xml:space="preserve">CÓMO SE USA</t>
  </si>
  <si>
    <t xml:space="preserve">1. Supuestos</t>
  </si>
  <si>
    <t xml:space="preserve">Edita SOLO las celdas amarillas. Son las horas que Adriana puede dedicar, lo que quiere ganar y sus costos fijos. Todo lo demás se recalcula solo.</t>
  </si>
  <si>
    <t xml:space="preserve">2. Horas por producto</t>
  </si>
  <si>
    <t xml:space="preserve">Ajusta las horas estimadas de cada entregable. Es el supuesto que más mueve el precio y el que Adriana puede corregir mejor que nadie.</t>
  </si>
  <si>
    <t xml:space="preserve">3. Bandas de precio</t>
  </si>
  <si>
    <t xml:space="preserve">Sale el resultado: piso, objetivo y premium por producto. De ahí se elige lo que se publica.</t>
  </si>
  <si>
    <t xml:space="preserve">4. Capacidad</t>
  </si>
  <si>
    <t xml:space="preserve">Comprueba cuántos clientes caben en sus horas. Esta hoja es la que dice si PARTNER se puede lanzar o no.</t>
  </si>
  <si>
    <t xml:space="preserve">5. Matriz</t>
  </si>
  <si>
    <t xml:space="preserve">Qué servicio entra en qué nivel. Es lo que va publicado en el sitio.</t>
  </si>
  <si>
    <t xml:space="preserve">COLORES</t>
  </si>
  <si>
    <t xml:space="preserve">Amarillo con letra azul</t>
  </si>
  <si>
    <t xml:space="preserve">Dato que capturas tú. Son los únicos que debes tocar.</t>
  </si>
  <si>
    <t xml:space="preserve">Letra negra</t>
  </si>
  <si>
    <t xml:space="preserve">Fórmula. Si la sobrescribes, el modelo deja de recalcularse.</t>
  </si>
  <si>
    <t xml:space="preserve">Letra verde</t>
  </si>
  <si>
    <t xml:space="preserve">Trae un valor de otra hoja.</t>
  </si>
  <si>
    <t xml:space="preserve">ADVERTENCIA</t>
  </si>
  <si>
    <t xml:space="preserve">Los supuestos son míos</t>
  </si>
  <si>
    <t xml:space="preserve">Las horas por entregable y los costos fijos son estimaciones razonadas, no datos que Adriana me haya dado. Cada una tiene su justificación escrita al lado. Revísalas una por una antes de usar cualquier número de salida: si las horas están mal, el precio está mal, por muy bien que calcule el libro.</t>
  </si>
  <si>
    <t xml:space="preserve">Supuestos</t>
  </si>
  <si>
    <t xml:space="preserve">Edita solo las celdas amarillas. Todo lo demás se calcula.</t>
  </si>
  <si>
    <t xml:space="preserve">CAPACIDAD</t>
  </si>
  <si>
    <t xml:space="preserve">Horas por semana dedicables a logistika</t>
  </si>
  <si>
    <t xml:space="preserve">Adriana tiene un trabajo de tiempo completo. 12 h/semana son ~2 h entre semana más medio sábado. Si esto sube, sube todo lo demás.</t>
  </si>
  <si>
    <t xml:space="preserve">Semanas facturables al año</t>
  </si>
  <si>
    <t xml:space="preserve">52 menos vacaciones, puentes y las semanas muertas de diciembre.</t>
  </si>
  <si>
    <t xml:space="preserve">% de horas no facturables (venta, propuestas, admin)</t>
  </si>
  <si>
    <t xml:space="preserve">En consultoría independiente, un tercio del tiempo se va en conseguir el trabajo, no en hacerlo. Con 0.20 el modelo se vuelve optimista.</t>
  </si>
  <si>
    <t xml:space="preserve">Horas facturables al año</t>
  </si>
  <si>
    <t xml:space="preserve">Este es el número que limita todo el negocio.</t>
  </si>
  <si>
    <t xml:space="preserve">ECONOMÍA</t>
  </si>
  <si>
    <t xml:space="preserve">Ingreso anual objetivo de logistika (MXN)</t>
  </si>
  <si>
    <t xml:space="preserve">Lo que Adriana quiere que le deje logistika al año, ADEMÁS de su sueldo. Cámbialo por su cifra real: es el supuesto más importante del libro.</t>
  </si>
  <si>
    <t xml:space="preserve">Costos fijos anuales (MXN)</t>
  </si>
  <si>
    <t xml:space="preserve">Contador, software, seguro de responsabilidad, sitio, telefonía, membresías de cámara. Estimación mía, no un presupuesto suyo.</t>
  </si>
  <si>
    <t xml:space="preserve">Margen objetivo sobre el piso</t>
  </si>
  <si>
    <t xml:space="preserve">Colchón para reinversión, cuentas incobrables y trabajo no cobrado. Por debajo de 0.25 no queda margen para errores de estimación.</t>
  </si>
  <si>
    <t xml:space="preserve">Factor premium (precio por valor)</t>
  </si>
  <si>
    <t xml:space="preserve">Se aplica donde el valor para el cliente es mucho mayor que las horas invertidas, como el diagnóstico. No se aplica a trabajo por volumen.</t>
  </si>
  <si>
    <t xml:space="preserve">TARIFAS DERIVADAS</t>
  </si>
  <si>
    <t xml:space="preserve">Costo por hora facturable (piso)</t>
  </si>
  <si>
    <t xml:space="preserve">Por debajo de esto, cada hora trabajada le cuesta dinero.</t>
  </si>
  <si>
    <t xml:space="preserve">Tarifa objetivo por hora</t>
  </si>
  <si>
    <t xml:space="preserve">Piso más el margen objetivo. Es la tarifa con la que se debe cotizar.</t>
  </si>
  <si>
    <t xml:space="preserve">Tarifa premium por hora</t>
  </si>
  <si>
    <t xml:space="preserve">TIPO DE CAMBIO</t>
  </si>
  <si>
    <t xml:space="preserve">MXN por USD</t>
  </si>
  <si>
    <t xml:space="preserve">CONFIRMAR antes de cotizar en dólares. Este número se mueve todas las semanas; el que está aquí es un marcador, no una cotización.</t>
  </si>
  <si>
    <t xml:space="preserve">Horas estimadas por entregable</t>
  </si>
  <si>
    <t xml:space="preserve">El supuesto que más mueve el precio. Ajústalo con la experiencia de Adriana.</t>
  </si>
  <si>
    <t xml:space="preserve">Producto</t>
  </si>
  <si>
    <t xml:space="preserve">Qué incluye</t>
  </si>
  <si>
    <t xml:space="preserve">Horas
optimista</t>
  </si>
  <si>
    <t xml:space="preserve">Horas
base</t>
  </si>
  <si>
    <t xml:space="preserve">Horas
pesimista</t>
  </si>
  <si>
    <t xml:space="preserve">Horas
ponderadas</t>
  </si>
  <si>
    <t xml:space="preserve">Justificación del rango</t>
  </si>
  <si>
    <t xml:space="preserve">Health Check</t>
  </si>
  <si>
    <t xml:space="preserve">Diagnóstico de cadena de suministro (10–15 días)</t>
  </si>
  <si>
    <t xml:space="preserve">Entrevistas, revisión documental, análisis de costos, redacción del reporte y presentación. El rango alto es una operación con varios proveedores y sin datos ordenados.</t>
  </si>
  <si>
    <t xml:space="preserve">START</t>
  </si>
  <si>
    <t xml:space="preserve">Consultoría y plan de importación</t>
  </si>
  <si>
    <t xml:space="preserve">Análisis de producto, proveedor y origen; clasificación arancelaria; costo en destino; régimen y ruta; expediente de viabilidad.</t>
  </si>
  <si>
    <t xml:space="preserve">MANAGE — arranque</t>
  </si>
  <si>
    <t xml:space="preserve">Alta de cuenta: procedimientos, formatos, alta de proveedores</t>
  </si>
  <si>
    <t xml:space="preserve">Trabajo de una sola vez al iniciar la relación. Se cobra aparte o se amortiza en los primeros tres meses.</t>
  </si>
  <si>
    <t xml:space="preserve">MANAGE — mensual</t>
  </si>
  <si>
    <t xml:space="preserve">Coordinación mensual base (sin embarques)</t>
  </si>
  <si>
    <t xml:space="preserve">Junta de seguimiento, reporte de indicadores, auditoría de facturas de proveedores.</t>
  </si>
  <si>
    <t xml:space="preserve">MANAGE — por embarque</t>
  </si>
  <si>
    <t xml:space="preserve">Coordinación de un embarque de punta a punta</t>
  </si>
  <si>
    <t xml:space="preserve">Revisión documental previa, coordinación con forwarder y agente, seguimiento de ETA, liberación, entrega y cierre de expediente.</t>
  </si>
  <si>
    <t xml:space="preserve">PARTNER — mensual</t>
  </si>
  <si>
    <t xml:space="preserve">Departamento externo de comercio exterior</t>
  </si>
  <si>
    <t xml:space="preserve">Incluye todo MANAGE más exportaciones, abastecimiento, cumplimiento y reporte a dirección. OJO: son horas que Adriana hoy no tiene.</t>
  </si>
  <si>
    <t xml:space="preserve">Las horas ponderadas usan PERT: (optimista + 4×base + pesimista) / 6. Un promedio simple subestima el trabajo de coordinación, porque lo que sale mal siempre cuesta más de lo que se ahorra cuando sale bien.</t>
  </si>
  <si>
    <t xml:space="preserve">Bandas de precio por producto</t>
  </si>
  <si>
    <t xml:space="preserve">Salida del modelo. Nada aquí se captura a mano.</t>
  </si>
  <si>
    <t xml:space="preserve">Piso
(MXN)</t>
  </si>
  <si>
    <t xml:space="preserve">Objetivo
(MXN)</t>
  </si>
  <si>
    <t xml:space="preserve">Premium
(MXN)</t>
  </si>
  <si>
    <t xml:space="preserve">Objetivo
(USD)</t>
  </si>
  <si>
    <t xml:space="preserve">Cómo se cobra</t>
  </si>
  <si>
    <t xml:space="preserve">Precio fijo, 50% al inicio y 50% contra entrega</t>
  </si>
  <si>
    <t xml:space="preserve">Precio fijo por proyecto</t>
  </si>
  <si>
    <t xml:space="preserve">Único, al firmar</t>
  </si>
  <si>
    <t xml:space="preserve">Iguala mensual</t>
  </si>
  <si>
    <t xml:space="preserve">Fee por embarque, se suma a la iguala</t>
  </si>
  <si>
    <t xml:space="preserve">Iguala mensual, contrato anual</t>
  </si>
  <si>
    <t xml:space="preserve">PAQUETE MANAGE — lo que factura un cliente típico</t>
  </si>
  <si>
    <t xml:space="preserve">Embarques al mes de un cliente promedio</t>
  </si>
  <si>
    <t xml:space="preserve">Rango objetivo del nivel MANAGE: entre 5 y 30 embarques al mes.</t>
  </si>
  <si>
    <t xml:space="preserve">Iguala mensual (objetivo)</t>
  </si>
  <si>
    <t xml:space="preserve">Fee por embarque (objetivo)</t>
  </si>
  <si>
    <t xml:space="preserve">Facturación mensual de ese cliente</t>
  </si>
  <si>
    <t xml:space="preserve">Horas que ese cliente consume al mes</t>
  </si>
  <si>
    <t xml:space="preserve">El precio de salida es el OBJETIVO, no el piso. El piso solo sirve para saber cuándo hay que decir que no: si un cliente regatea por debajo de esa columna, el trabajo cuesta dinero en vez de generarlo.</t>
  </si>
  <si>
    <t xml:space="preserve">¿Cuánto cabe en las horas de Adriana?</t>
  </si>
  <si>
    <t xml:space="preserve">La restricción de este negocio es el tiempo, no la demanda. Esta hoja decide qué se lanza.</t>
  </si>
  <si>
    <t xml:space="preserve">HORAS DISPONIBLES</t>
  </si>
  <si>
    <t xml:space="preserve">Horas facturables al mes</t>
  </si>
  <si>
    <t xml:space="preserve">LO QUE CONSUME CADA CLIENTE AL MES</t>
  </si>
  <si>
    <t xml:space="preserve">Un cliente MANAGE, al volumen supuesto</t>
  </si>
  <si>
    <t xml:space="preserve">Un cliente PARTNER</t>
  </si>
  <si>
    <t xml:space="preserve">CUÁNTOS CABEN</t>
  </si>
  <si>
    <t xml:space="preserve">Clientes MANAGE simultáneos</t>
  </si>
  <si>
    <t xml:space="preserve">Clientes PARTNER simultáneos</t>
  </si>
  <si>
    <t xml:space="preserve">EL LÍMITE REAL DE MANAGE</t>
  </si>
  <si>
    <t xml:space="preserve">Horas que quedan tras la iguala base</t>
  </si>
  <si>
    <t xml:space="preserve">Embarques al mes que caben en esas horas</t>
  </si>
  <si>
    <t xml:space="preserve">Máximo absoluto para UN cliente, consumiendo el 100% de las horas. Para operar con holgura, la mitad.</t>
  </si>
  <si>
    <t xml:space="preserve">Volumen supuesto en 'Bandas de precio'</t>
  </si>
  <si>
    <t xml:space="preserve">INGRESO ALCANZABLE (limitado por capacidad)</t>
  </si>
  <si>
    <t xml:space="preserve">Clientes MANAGE que se quisieran sostener</t>
  </si>
  <si>
    <t xml:space="preserve">Lo que se desea. La línea de abajo lo recorta a lo que cabe.</t>
  </si>
  <si>
    <t xml:space="preserve">Clientes que realmente caben</t>
  </si>
  <si>
    <t xml:space="preserve">Se toma el menor entre lo deseado y lo posible. Aquí es donde el plan se topa con el calendario.</t>
  </si>
  <si>
    <t xml:space="preserve">Facturación anual con esa cartera</t>
  </si>
  <si>
    <t xml:space="preserve">Ingreso objetivo</t>
  </si>
  <si>
    <t xml:space="preserve">Diferencia contra el objetivo</t>
  </si>
  <si>
    <t xml:space="preserve">LA RUTA QUE SÍ CABE</t>
  </si>
  <si>
    <t xml:space="preserve">Diagnósticos (Health Check) al año</t>
  </si>
  <si>
    <t xml:space="preserve">Uno cada mes y medio. Es el producto de entrada y el que mejor paga por hora.</t>
  </si>
  <si>
    <t xml:space="preserve">Proyectos START al año</t>
  </si>
  <si>
    <t xml:space="preserve">Uno por trimestre, normalmente derivado de un diagnóstico previo.</t>
  </si>
  <si>
    <t xml:space="preserve">Horas que consume ese plan</t>
  </si>
  <si>
    <t xml:space="preserve">Contra las horas disponibles al año</t>
  </si>
  <si>
    <t xml:space="preserve">Horas libres restantes</t>
  </si>
  <si>
    <t xml:space="preserve">Facturación anual de ese plan</t>
  </si>
  <si>
    <t xml:space="preserve">Contra el objetivo</t>
  </si>
  <si>
    <t xml:space="preserve">Lectura del modelo: con capacidad de medio tiempo, el trabajo por volumen (coordinar muchos embarques) es el peor negocio por hora, y además es el que más se parece a un empleo. Los diagnósticos y los proyectos de precio fijo pagan mucho mejor la hora y se pueden agendar. Esa es la razón de arrancar por ahí, no un capricho de posicionamiento.</t>
  </si>
  <si>
    <t xml:space="preserve">Qué pasa si cambian las horas disponibles y el margen</t>
  </si>
  <si>
    <t xml:space="preserve">Tarifa objetivo por hora (MXN) para cada combinación.</t>
  </si>
  <si>
    <t xml:space="preserve">Horas / semana ↓   Margen →</t>
  </si>
  <si>
    <t xml:space="preserve">Leer así: cada celda es la tarifa por hora que Adriana necesita cobrar para llegar a su ingreso objetivo con esas horas y ese margen. Menos horas disponibles obliga a cobrar más caro, no más barato — es el error más común al empezar de medio tiempo.</t>
  </si>
  <si>
    <t xml:space="preserve">Matriz de servicios por nivel</t>
  </si>
  <si>
    <t xml:space="preserve">Qué entra en cada nivel. Esto es lo que va publicado en el sitio.</t>
  </si>
  <si>
    <t xml:space="preserve">Servicio</t>
  </si>
  <si>
    <t xml:space="preserve">Qué es</t>
  </si>
  <si>
    <t xml:space="preserve">MANAGE</t>
  </si>
  <si>
    <t xml:space="preserve">PARTNER</t>
  </si>
  <si>
    <t xml:space="preserve">Supply chain health check</t>
  </si>
  <si>
    <t xml:space="preserve">Diagnóstico de 10–15 días</t>
  </si>
  <si>
    <t xml:space="preserve">Incluido</t>
  </si>
  <si>
    <t xml:space="preserve">Plan de importación</t>
  </si>
  <si>
    <t xml:space="preserve">Producto, origen, arancel, costo en destino</t>
  </si>
  <si>
    <t xml:space="preserve">Gestión de importaciones</t>
  </si>
  <si>
    <t xml:space="preserve">Coordinación de cada embarque de punta a punta</t>
  </si>
  <si>
    <t xml:space="preserve">—</t>
  </si>
  <si>
    <t xml:space="preserve">Revisión documental previa</t>
  </si>
  <si>
    <t xml:space="preserve">Antes de que embarque el proveedor</t>
  </si>
  <si>
    <t xml:space="preserve">Coordinación de forwarder y agente</t>
  </si>
  <si>
    <t xml:space="preserve">Selección, comparación y auditoría</t>
  </si>
  <si>
    <t xml:space="preserve">Cierre de expediente e indicadores</t>
  </si>
  <si>
    <t xml:space="preserve">Costo real por embarque, OTIF, incidencias</t>
  </si>
  <si>
    <t xml:space="preserve">Optimización de cadena de suministro</t>
  </si>
  <si>
    <t xml:space="preserve">Búsqueda de fugas de costo</t>
  </si>
  <si>
    <t xml:space="preserve">Proyecto aparte</t>
  </si>
  <si>
    <t xml:space="preserve">Torre de control logística</t>
  </si>
  <si>
    <t xml:space="preserve">Monitoreo, ETA, retrasos, incidencias</t>
  </si>
  <si>
    <t xml:space="preserve">Exportaciones</t>
  </si>
  <si>
    <t xml:space="preserve">Además de importaciones</t>
  </si>
  <si>
    <t xml:space="preserve">Logística de abastecimiento</t>
  </si>
  <si>
    <t xml:space="preserve">Gestión de proveedores y compras</t>
  </si>
  <si>
    <t xml:space="preserve">Cumplimiento y auditoría documental</t>
  </si>
  <si>
    <t xml:space="preserve">Trámites y expedientes ante revisión</t>
  </si>
  <si>
    <t xml:space="preserve">Reporte a dirección</t>
  </si>
  <si>
    <t xml:space="preserve">Control de costos y KPIs al comité</t>
  </si>
  <si>
    <t xml:space="preserve">Logística de proyectos</t>
  </si>
  <si>
    <t xml:space="preserve">Obra, arranque de planta, transporte especializado</t>
  </si>
  <si>
    <t xml:space="preserve">Gerencia interina de logística</t>
  </si>
  <si>
    <t xml:space="preserve">3 a 12 meses cubriendo la función</t>
  </si>
  <si>
    <t xml:space="preserve">PRECIO DE CADA NIVEL</t>
  </si>
  <si>
    <t xml:space="preserve">Proyecto de precio fijo</t>
  </si>
  <si>
    <t xml:space="preserve">Iguala + fee por embarque (12 embarques/mes)</t>
  </si>
  <si>
    <t xml:space="preserve">PARTNER está en la matriz pero la hoja 'Capacidad' dice si cabe en las horas de Adriana. Publicar un nivel que no se puede sostener es peor que no ofrecerlo: el primer cliente que lo contrate se lleva la mala experiencia.</t>
  </si>
  <si>
    <t xml:space="preserve">Antes de publicar un precio</t>
  </si>
  <si>
    <t xml:space="preserve">El modelo da el piso. El mercado da el techo. Falta la mitad del dato.</t>
  </si>
  <si>
    <t xml:space="preserve">Este libro calcula lo que logistika NECESITA cobrar. No sabe lo que el mercado de Querétaro está dispuesto a pagar, porque nadie lo ha preguntado todavía. Sin este contraste, el riesgo no es cobrar caro: es cobrar barato y no enterarse.</t>
  </si>
  <si>
    <t xml:space="preserve">A quién preguntar</t>
  </si>
  <si>
    <t xml:space="preserve">Qué preguntar</t>
  </si>
  <si>
    <t xml:space="preserve">Precio que mencionó</t>
  </si>
  <si>
    <t xml:space="preserve">Fecha</t>
  </si>
  <si>
    <t xml:space="preserve">Fuente</t>
  </si>
  <si>
    <t xml:space="preserve">Un agente aduanal conocido</t>
  </si>
  <si>
    <t xml:space="preserve">Cuánto cobra un consultor externo que le audita al cliente</t>
  </si>
  <si>
    <t xml:space="preserve">Un ex-colega de Geodis o UTI</t>
  </si>
  <si>
    <t xml:space="preserve">Qué cobra hoy quien hace gestión de importaciones por fuera</t>
  </si>
  <si>
    <t xml:space="preserve">Un contacto en un parque industrial</t>
  </si>
  <si>
    <t xml:space="preserve">Qué presupuesto tienen para un diagnóstico externo</t>
  </si>
  <si>
    <t xml:space="preserve">Una empresa que ya dijo que no</t>
  </si>
  <si>
    <t xml:space="preserve">Qué le pareció caro y contra qué lo comparó</t>
  </si>
  <si>
    <t xml:space="preserve">Alguien del Foro de Logística de SEDESU</t>
  </si>
  <si>
    <t xml:space="preserve">Qué proveedores usan y en qué rango pagan</t>
  </si>
  <si>
    <t xml:space="preserve">Regla práctica: si nadie ha dicho que el precio le parece caro, está bajo. Un porcentaje sano de propuestas rechazadas por precio está entre el 20% y el 40%; con cero rechazos, se está dejando dinero en la mesa.</t>
  </si>
</sst>
</file>

<file path=xl/styles.xml><?xml version="1.0" encoding="utf-8"?>
<styleSheet xmlns="http://schemas.openxmlformats.org/spreadsheetml/2006/main">
  <numFmts count="8">
    <numFmt numFmtId="164" formatCode="General"/>
    <numFmt numFmtId="165" formatCode="#,##0.0"/>
    <numFmt numFmtId="166" formatCode="#,##0"/>
    <numFmt numFmtId="167" formatCode="0.0%"/>
    <numFmt numFmtId="168" formatCode="\$#,##0;&quot;($&quot;#,##0\);\-"/>
    <numFmt numFmtId="169" formatCode="0.00\x"/>
    <numFmt numFmtId="170" formatCode="0.00"/>
    <numFmt numFmtId="171" formatCode="#,##0.00"/>
  </numFmts>
  <fonts count="17">
    <font>
      <sz val="11"/>
      <color theme="1"/>
      <name val="Calibri"/>
      <family val="2"/>
      <charset val="1"/>
    </font>
    <font>
      <sz val="10"/>
      <name val="Arial"/>
      <family val="0"/>
    </font>
    <font>
      <sz val="10"/>
      <name val="Arial"/>
      <family val="0"/>
    </font>
    <font>
      <sz val="10"/>
      <name val="Arial"/>
      <family val="0"/>
    </font>
    <font>
      <b val="true"/>
      <sz val="14"/>
      <color rgb="FF27407A"/>
      <name val="Arial"/>
      <family val="0"/>
      <charset val="1"/>
    </font>
    <font>
      <i val="true"/>
      <sz val="10"/>
      <color rgb="FF5A6684"/>
      <name val="Arial"/>
      <family val="0"/>
      <charset val="1"/>
    </font>
    <font>
      <b val="true"/>
      <sz val="11"/>
      <color rgb="FF385DAB"/>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
      <b val="true"/>
      <sz val="10"/>
      <color rgb="FFB0410E"/>
      <name val="Arial"/>
      <family val="0"/>
      <charset val="1"/>
    </font>
    <font>
      <b val="true"/>
      <sz val="10"/>
      <color rgb="FF1B7A43"/>
      <name val="Arial"/>
      <family val="0"/>
      <charset val="1"/>
    </font>
    <font>
      <sz val="10"/>
      <color rgb="FFA9B2C6"/>
      <name val="Arial"/>
      <family val="0"/>
      <charset val="1"/>
    </font>
    <font>
      <sz val="9"/>
      <color rgb="FF8A5E08"/>
      <name val="Arial"/>
      <family val="0"/>
      <charset val="1"/>
    </font>
    <font>
      <i val="true"/>
      <sz val="10"/>
      <color rgb="FFB0410E"/>
      <name val="Arial"/>
      <family val="0"/>
      <charset val="1"/>
    </font>
  </fonts>
  <fills count="7">
    <fill>
      <patternFill patternType="none"/>
    </fill>
    <fill>
      <patternFill patternType="gray125"/>
    </fill>
    <fill>
      <patternFill patternType="solid">
        <fgColor rgb="FFF6F8FD"/>
        <bgColor rgb="FFFFFFFF"/>
      </patternFill>
    </fill>
    <fill>
      <patternFill patternType="solid">
        <fgColor rgb="FFFFFF00"/>
        <bgColor rgb="FFFFFF00"/>
      </patternFill>
    </fill>
    <fill>
      <patternFill patternType="solid">
        <fgColor rgb="FFFDF0D5"/>
        <bgColor rgb="FFE8F5EC"/>
      </patternFill>
    </fill>
    <fill>
      <patternFill patternType="solid">
        <fgColor rgb="FF385DAB"/>
        <bgColor rgb="FF5A6684"/>
      </patternFill>
    </fill>
    <fill>
      <patternFill patternType="solid">
        <fgColor rgb="FFE8F5EC"/>
        <bgColor rgb="FFF6F8FD"/>
      </patternFill>
    </fill>
  </fills>
  <borders count="2">
    <border diagonalUp="false" diagonalDown="false">
      <left/>
      <right/>
      <top/>
      <bottom/>
      <diagonal/>
    </border>
    <border diagonalUp="false" diagonalDown="false">
      <left style="thin">
        <color rgb="FFD5DCEC"/>
      </left>
      <right style="thin">
        <color rgb="FFD5DCEC"/>
      </right>
      <top style="thin">
        <color rgb="FFD5DCEC"/>
      </top>
      <bottom style="thin">
        <color rgb="FFD5DC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71" fontId="7"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0" fillId="5" borderId="0" xfId="0" applyFont="true" applyBorder="false" applyAlignment="true" applyProtection="false">
      <alignment horizontal="center" vertical="bottom" textRotation="0" wrapText="true" indent="0" shrinkToFit="false"/>
      <protection locked="true" hidden="false"/>
    </xf>
    <xf numFmtId="167" fontId="10" fillId="5" borderId="1" xfId="0" applyFont="true" applyBorder="true" applyAlignment="true" applyProtection="false">
      <alignment horizontal="center" vertical="bottom" textRotation="0" wrapText="false" indent="0" shrinkToFit="false"/>
      <protection locked="true" hidden="false"/>
    </xf>
    <xf numFmtId="164" fontId="13" fillId="6"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15" fillId="4"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5E08"/>
      <rgbColor rgb="FF800080"/>
      <rgbColor rgb="FF1B7A43"/>
      <rgbColor rgb="FFA9B2C6"/>
      <rgbColor rgb="FF808080"/>
      <rgbColor rgb="FF9999FF"/>
      <rgbColor rgb="FF993366"/>
      <rgbColor rgb="FFFDF0D5"/>
      <rgbColor rgb="FFE8F5EC"/>
      <rgbColor rgb="FF660066"/>
      <rgbColor rgb="FFFF8080"/>
      <rgbColor rgb="FF0066CC"/>
      <rgbColor rgb="FFD5DCEC"/>
      <rgbColor rgb="FF000080"/>
      <rgbColor rgb="FFFF00FF"/>
      <rgbColor rgb="FFFFFF00"/>
      <rgbColor rgb="FF00FFFF"/>
      <rgbColor rgb="FF800080"/>
      <rgbColor rgb="FF800000"/>
      <rgbColor rgb="FF008080"/>
      <rgbColor rgb="FF0000FF"/>
      <rgbColor rgb="FF00CCFF"/>
      <rgbColor rgb="FFF6F8FD"/>
      <rgbColor rgb="FFCCFFCC"/>
      <rgbColor rgb="FFFFFF99"/>
      <rgbColor rgb="FF99CCFF"/>
      <rgbColor rgb="FFFF99CC"/>
      <rgbColor rgb="FFCC99FF"/>
      <rgbColor rgb="FFFFCC99"/>
      <rgbColor rgb="FF385DAB"/>
      <rgbColor rgb="FF33CCCC"/>
      <rgbColor rgb="FF99CC00"/>
      <rgbColor rgb="FFFFCC00"/>
      <rgbColor rgb="FFFF9900"/>
      <rgbColor rgb="FFFF6600"/>
      <rgbColor rgb="FF5A6684"/>
      <rgbColor rgb="FF969696"/>
      <rgbColor rgb="FF003366"/>
      <rgbColor rgb="FF339966"/>
      <rgbColor rgb="FF003300"/>
      <rgbColor rgb="FF333300"/>
      <rgbColor rgb="FFB0410E"/>
      <rgbColor rgb="FF993366"/>
      <rgbColor rgb="FF27407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88"/>
  </cols>
  <sheetData>
    <row r="1" customFormat="false" ht="17.35"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c r="B5" s="3"/>
      <c r="C5" s="3"/>
    </row>
    <row r="6" customFormat="false" ht="39" hidden="false" customHeight="true" outlineLevel="0" collapsed="false">
      <c r="B6" s="4" t="s">
        <v>3</v>
      </c>
      <c r="C6" s="5" t="s">
        <v>4</v>
      </c>
    </row>
    <row r="7" customFormat="false" ht="25.5" hidden="false" customHeight="true" outlineLevel="0" collapsed="false">
      <c r="B7" s="4" t="s">
        <v>5</v>
      </c>
      <c r="C7" s="5" t="s">
        <v>6</v>
      </c>
    </row>
    <row r="8" customFormat="false" ht="25.5" hidden="false" customHeight="true" outlineLevel="0" collapsed="false">
      <c r="B8" s="4" t="s">
        <v>7</v>
      </c>
      <c r="C8" s="5" t="s">
        <v>8</v>
      </c>
    </row>
    <row r="10" customFormat="false" ht="15" hidden="false" customHeight="false" outlineLevel="0" collapsed="false">
      <c r="A10" s="3" t="s">
        <v>9</v>
      </c>
      <c r="B10" s="3"/>
      <c r="C10" s="3"/>
    </row>
    <row r="11" customFormat="false" ht="25.5" hidden="false" customHeight="true" outlineLevel="0" collapsed="false">
      <c r="B11" s="4" t="s">
        <v>10</v>
      </c>
      <c r="C11" s="5" t="s">
        <v>11</v>
      </c>
    </row>
    <row r="12" customFormat="false" ht="25.5" hidden="false" customHeight="true" outlineLevel="0" collapsed="false">
      <c r="B12" s="4" t="s">
        <v>12</v>
      </c>
      <c r="C12" s="5" t="s">
        <v>13</v>
      </c>
    </row>
    <row r="13" customFormat="false" ht="25.5" hidden="false" customHeight="true" outlineLevel="0" collapsed="false">
      <c r="B13" s="4" t="s">
        <v>14</v>
      </c>
      <c r="C13" s="5" t="s">
        <v>15</v>
      </c>
    </row>
    <row r="14" customFormat="false" ht="25.5" hidden="false" customHeight="true" outlineLevel="0" collapsed="false">
      <c r="B14" s="4" t="s">
        <v>16</v>
      </c>
      <c r="C14" s="5" t="s">
        <v>17</v>
      </c>
    </row>
    <row r="15" customFormat="false" ht="15" hidden="false" customHeight="true" outlineLevel="0" collapsed="false">
      <c r="B15" s="4" t="s">
        <v>18</v>
      </c>
      <c r="C15" s="5" t="s">
        <v>19</v>
      </c>
    </row>
    <row r="17" customFormat="false" ht="15" hidden="false" customHeight="false" outlineLevel="0" collapsed="false">
      <c r="A17" s="3" t="s">
        <v>20</v>
      </c>
      <c r="B17" s="3"/>
      <c r="C17" s="3"/>
    </row>
    <row r="18" customFormat="false" ht="15" hidden="false" customHeight="true" outlineLevel="0" collapsed="false">
      <c r="B18" s="4" t="s">
        <v>21</v>
      </c>
      <c r="C18" s="5" t="s">
        <v>22</v>
      </c>
    </row>
    <row r="19" customFormat="false" ht="15" hidden="false" customHeight="true" outlineLevel="0" collapsed="false">
      <c r="B19" s="4" t="s">
        <v>23</v>
      </c>
      <c r="C19" s="5" t="s">
        <v>24</v>
      </c>
    </row>
    <row r="20" customFormat="false" ht="15" hidden="false" customHeight="true" outlineLevel="0" collapsed="false">
      <c r="B20" s="4" t="s">
        <v>25</v>
      </c>
      <c r="C20" s="5" t="s">
        <v>26</v>
      </c>
    </row>
    <row r="22" customFormat="false" ht="15" hidden="false" customHeight="false" outlineLevel="0" collapsed="false">
      <c r="A22" s="3" t="s">
        <v>27</v>
      </c>
      <c r="B22" s="3"/>
      <c r="C22" s="3"/>
    </row>
    <row r="23" customFormat="false" ht="51.75" hidden="false" customHeight="true" outlineLevel="0" collapsed="false">
      <c r="B23" s="4" t="s">
        <v>28</v>
      </c>
      <c r="C23" s="5" t="s">
        <v>29</v>
      </c>
    </row>
  </sheetData>
  <mergeCells count="4">
    <mergeCell ref="A5:C5"/>
    <mergeCell ref="A10:C10"/>
    <mergeCell ref="A17:C17"/>
    <mergeCell ref="A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16"/>
    <col collapsed="false" customWidth="true" hidden="false" outlineLevel="0" max="4" min="4" style="0" width="74"/>
  </cols>
  <sheetData>
    <row r="1" customFormat="false" ht="17.35" hidden="false" customHeight="false" outlineLevel="0" collapsed="false">
      <c r="A1" s="1" t="s">
        <v>30</v>
      </c>
    </row>
    <row r="2" customFormat="false" ht="15" hidden="false" customHeight="false" outlineLevel="0" collapsed="false">
      <c r="A2" s="2" t="s">
        <v>31</v>
      </c>
    </row>
    <row r="4" customFormat="false" ht="15" hidden="false" customHeight="false" outlineLevel="0" collapsed="false">
      <c r="B4" s="6" t="s">
        <v>32</v>
      </c>
    </row>
    <row r="5" customFormat="false" ht="23.85" hidden="false" customHeight="false" outlineLevel="0" collapsed="false">
      <c r="B5" s="7" t="s">
        <v>33</v>
      </c>
      <c r="C5" s="8" t="n">
        <v>12</v>
      </c>
      <c r="D5" s="9" t="s">
        <v>34</v>
      </c>
    </row>
    <row r="6" customFormat="false" ht="15" hidden="false" customHeight="false" outlineLevel="0" collapsed="false">
      <c r="B6" s="7" t="s">
        <v>35</v>
      </c>
      <c r="C6" s="10" t="n">
        <v>44</v>
      </c>
      <c r="D6" s="9" t="s">
        <v>36</v>
      </c>
    </row>
    <row r="7" customFormat="false" ht="23.85" hidden="false" customHeight="false" outlineLevel="0" collapsed="false">
      <c r="B7" s="7" t="s">
        <v>37</v>
      </c>
      <c r="C7" s="11" t="n">
        <v>0.35</v>
      </c>
      <c r="D7" s="9" t="s">
        <v>38</v>
      </c>
    </row>
    <row r="8" customFormat="false" ht="15" hidden="false" customHeight="false" outlineLevel="0" collapsed="false">
      <c r="B8" s="4" t="s">
        <v>39</v>
      </c>
      <c r="C8" s="12" t="n">
        <f aca="false">C5*C6*(1-C7)</f>
        <v>343.2</v>
      </c>
      <c r="D8" s="2" t="s">
        <v>40</v>
      </c>
    </row>
    <row r="10" customFormat="false" ht="15" hidden="false" customHeight="false" outlineLevel="0" collapsed="false">
      <c r="B10" s="6" t="s">
        <v>41</v>
      </c>
    </row>
    <row r="11" customFormat="false" ht="23.85" hidden="false" customHeight="false" outlineLevel="0" collapsed="false">
      <c r="B11" s="7" t="s">
        <v>42</v>
      </c>
      <c r="C11" s="13" t="n">
        <v>480000</v>
      </c>
      <c r="D11" s="9" t="s">
        <v>43</v>
      </c>
    </row>
    <row r="12" customFormat="false" ht="23.85" hidden="false" customHeight="false" outlineLevel="0" collapsed="false">
      <c r="B12" s="7" t="s">
        <v>44</v>
      </c>
      <c r="C12" s="13" t="n">
        <v>60000</v>
      </c>
      <c r="D12" s="9" t="s">
        <v>45</v>
      </c>
    </row>
    <row r="13" customFormat="false" ht="23.85" hidden="false" customHeight="false" outlineLevel="0" collapsed="false">
      <c r="B13" s="7" t="s">
        <v>46</v>
      </c>
      <c r="C13" s="11" t="n">
        <v>0.35</v>
      </c>
      <c r="D13" s="9" t="s">
        <v>47</v>
      </c>
    </row>
    <row r="14" customFormat="false" ht="23.85" hidden="false" customHeight="false" outlineLevel="0" collapsed="false">
      <c r="B14" s="7" t="s">
        <v>48</v>
      </c>
      <c r="C14" s="14" t="n">
        <v>1.35</v>
      </c>
      <c r="D14" s="9" t="s">
        <v>49</v>
      </c>
    </row>
    <row r="16" customFormat="false" ht="15" hidden="false" customHeight="false" outlineLevel="0" collapsed="false">
      <c r="B16" s="6" t="s">
        <v>50</v>
      </c>
    </row>
    <row r="17" customFormat="false" ht="15" hidden="false" customHeight="false" outlineLevel="0" collapsed="false">
      <c r="B17" s="7" t="s">
        <v>51</v>
      </c>
      <c r="C17" s="15" t="n">
        <f aca="false">IFERROR((C11+C12)/C8,0)</f>
        <v>1573.42657342657</v>
      </c>
      <c r="D17" s="2" t="s">
        <v>52</v>
      </c>
    </row>
    <row r="18" customFormat="false" ht="15" hidden="false" customHeight="false" outlineLevel="0" collapsed="false">
      <c r="B18" s="7" t="s">
        <v>53</v>
      </c>
      <c r="C18" s="15" t="n">
        <f aca="false">IFERROR(C17/(1-C13),0)</f>
        <v>2420.65626681011</v>
      </c>
      <c r="D18" s="2" t="s">
        <v>54</v>
      </c>
    </row>
    <row r="19" customFormat="false" ht="15" hidden="false" customHeight="false" outlineLevel="0" collapsed="false">
      <c r="B19" s="7" t="s">
        <v>55</v>
      </c>
      <c r="C19" s="15" t="n">
        <f aca="false">C18*C14</f>
        <v>3267.88596019365</v>
      </c>
    </row>
    <row r="21" customFormat="false" ht="15" hidden="false" customHeight="false" outlineLevel="0" collapsed="false">
      <c r="B21" s="6" t="s">
        <v>56</v>
      </c>
    </row>
    <row r="22" customFormat="false" ht="23.85" hidden="false" customHeight="false" outlineLevel="0" collapsed="false">
      <c r="B22" s="7" t="s">
        <v>57</v>
      </c>
      <c r="C22" s="16" t="n">
        <v>18.5</v>
      </c>
      <c r="D22" s="9" t="s">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44"/>
    <col collapsed="false" customWidth="true" hidden="false" outlineLevel="0" max="6" min="4" style="0" width="11"/>
    <col collapsed="false" customWidth="true" hidden="false" outlineLevel="0" max="7" min="7" style="0" width="13"/>
    <col collapsed="false" customWidth="true" hidden="false" outlineLevel="0" max="8" min="8" style="0" width="62"/>
  </cols>
  <sheetData>
    <row r="1" customFormat="false" ht="17.35" hidden="false" customHeight="false" outlineLevel="0" collapsed="false">
      <c r="A1" s="1" t="s">
        <v>59</v>
      </c>
    </row>
    <row r="2" customFormat="false" ht="15" hidden="false" customHeight="false" outlineLevel="0" collapsed="false">
      <c r="A2" s="2" t="s">
        <v>60</v>
      </c>
    </row>
    <row r="4" customFormat="false" ht="30" hidden="false" customHeight="true" outlineLevel="0" collapsed="false">
      <c r="B4" s="17" t="s">
        <v>61</v>
      </c>
      <c r="C4" s="17" t="s">
        <v>62</v>
      </c>
      <c r="D4" s="17" t="s">
        <v>63</v>
      </c>
      <c r="E4" s="17" t="s">
        <v>64</v>
      </c>
      <c r="F4" s="17" t="s">
        <v>65</v>
      </c>
      <c r="G4" s="17" t="s">
        <v>66</v>
      </c>
      <c r="H4" s="17" t="s">
        <v>67</v>
      </c>
    </row>
    <row r="5" customFormat="false" ht="42" hidden="false" customHeight="true" outlineLevel="0" collapsed="false">
      <c r="B5" s="4" t="s">
        <v>68</v>
      </c>
      <c r="C5" s="5" t="s">
        <v>69</v>
      </c>
      <c r="D5" s="8" t="n">
        <v>10</v>
      </c>
      <c r="E5" s="8" t="n">
        <v>16</v>
      </c>
      <c r="F5" s="8" t="n">
        <v>26</v>
      </c>
      <c r="G5" s="18" t="n">
        <f aca="false">(D5+4*E5+F5)/6</f>
        <v>16.6666666666667</v>
      </c>
      <c r="H5" s="9" t="s">
        <v>70</v>
      </c>
    </row>
    <row r="6" customFormat="false" ht="42" hidden="false" customHeight="true" outlineLevel="0" collapsed="false">
      <c r="B6" s="4" t="s">
        <v>71</v>
      </c>
      <c r="C6" s="5" t="s">
        <v>72</v>
      </c>
      <c r="D6" s="8" t="n">
        <v>14</v>
      </c>
      <c r="E6" s="8" t="n">
        <v>22</v>
      </c>
      <c r="F6" s="8" t="n">
        <v>34</v>
      </c>
      <c r="G6" s="18" t="n">
        <f aca="false">(D6+4*E6+F6)/6</f>
        <v>22.6666666666667</v>
      </c>
      <c r="H6" s="9" t="s">
        <v>73</v>
      </c>
    </row>
    <row r="7" customFormat="false" ht="42" hidden="false" customHeight="true" outlineLevel="0" collapsed="false">
      <c r="B7" s="4" t="s">
        <v>74</v>
      </c>
      <c r="C7" s="5" t="s">
        <v>75</v>
      </c>
      <c r="D7" s="8" t="n">
        <v>8</v>
      </c>
      <c r="E7" s="8" t="n">
        <v>14</v>
      </c>
      <c r="F7" s="8" t="n">
        <v>22</v>
      </c>
      <c r="G7" s="18" t="n">
        <f aca="false">(D7+4*E7+F7)/6</f>
        <v>14.3333333333333</v>
      </c>
      <c r="H7" s="9" t="s">
        <v>76</v>
      </c>
    </row>
    <row r="8" customFormat="false" ht="42" hidden="false" customHeight="true" outlineLevel="0" collapsed="false">
      <c r="B8" s="4" t="s">
        <v>77</v>
      </c>
      <c r="C8" s="5" t="s">
        <v>78</v>
      </c>
      <c r="D8" s="8" t="n">
        <v>3</v>
      </c>
      <c r="E8" s="8" t="n">
        <v>5</v>
      </c>
      <c r="F8" s="8" t="n">
        <v>8</v>
      </c>
      <c r="G8" s="18" t="n">
        <f aca="false">(D8+4*E8+F8)/6</f>
        <v>5.16666666666667</v>
      </c>
      <c r="H8" s="9" t="s">
        <v>79</v>
      </c>
    </row>
    <row r="9" customFormat="false" ht="42" hidden="false" customHeight="true" outlineLevel="0" collapsed="false">
      <c r="B9" s="4" t="s">
        <v>80</v>
      </c>
      <c r="C9" s="5" t="s">
        <v>81</v>
      </c>
      <c r="D9" s="8" t="n">
        <v>1.5</v>
      </c>
      <c r="E9" s="8" t="n">
        <v>2.5</v>
      </c>
      <c r="F9" s="8" t="n">
        <v>4.5</v>
      </c>
      <c r="G9" s="18" t="n">
        <f aca="false">(D9+4*E9+F9)/6</f>
        <v>2.66666666666667</v>
      </c>
      <c r="H9" s="9" t="s">
        <v>82</v>
      </c>
    </row>
    <row r="10" customFormat="false" ht="42" hidden="false" customHeight="true" outlineLevel="0" collapsed="false">
      <c r="B10" s="4" t="s">
        <v>83</v>
      </c>
      <c r="C10" s="5" t="s">
        <v>84</v>
      </c>
      <c r="D10" s="8" t="n">
        <v>18</v>
      </c>
      <c r="E10" s="8" t="n">
        <v>28</v>
      </c>
      <c r="F10" s="8" t="n">
        <v>40</v>
      </c>
      <c r="G10" s="18" t="n">
        <f aca="false">(D10+4*E10+F10)/6</f>
        <v>28.3333333333333</v>
      </c>
      <c r="H10" s="9" t="s">
        <v>85</v>
      </c>
    </row>
    <row r="12" customFormat="false" ht="15" hidden="false" customHeight="true" outlineLevel="0" collapsed="false">
      <c r="B12" s="19" t="s">
        <v>86</v>
      </c>
      <c r="C12" s="19"/>
      <c r="D12" s="19"/>
      <c r="E12" s="19"/>
      <c r="F12" s="19"/>
      <c r="G12" s="19"/>
      <c r="H12" s="19"/>
    </row>
    <row r="13" customFormat="false" ht="15" hidden="false" customHeight="false" outlineLevel="0" collapsed="false">
      <c r="B13" s="19"/>
      <c r="C13" s="19"/>
      <c r="D13" s="19"/>
      <c r="E13" s="19"/>
      <c r="F13" s="19"/>
      <c r="G13" s="19"/>
      <c r="H13" s="19"/>
    </row>
  </sheetData>
  <mergeCells count="1">
    <mergeCell ref="B12: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3"/>
    <col collapsed="false" customWidth="true" hidden="false" outlineLevel="0" max="6" min="4" style="0" width="15"/>
    <col collapsed="false" customWidth="true" hidden="false" outlineLevel="0" max="7" min="7" style="0" width="14"/>
    <col collapsed="false" customWidth="true" hidden="false" outlineLevel="0" max="8" min="8" style="0" width="56"/>
  </cols>
  <sheetData>
    <row r="1" customFormat="false" ht="17.35" hidden="false" customHeight="false" outlineLevel="0" collapsed="false">
      <c r="A1" s="1" t="s">
        <v>87</v>
      </c>
    </row>
    <row r="2" customFormat="false" ht="15" hidden="false" customHeight="false" outlineLevel="0" collapsed="false">
      <c r="A2" s="2" t="s">
        <v>88</v>
      </c>
    </row>
    <row r="4" customFormat="false" ht="30" hidden="false" customHeight="true" outlineLevel="0" collapsed="false">
      <c r="B4" s="17" t="s">
        <v>61</v>
      </c>
      <c r="C4" s="17" t="s">
        <v>66</v>
      </c>
      <c r="D4" s="17" t="s">
        <v>89</v>
      </c>
      <c r="E4" s="17" t="s">
        <v>90</v>
      </c>
      <c r="F4" s="17" t="s">
        <v>91</v>
      </c>
      <c r="G4" s="17" t="s">
        <v>92</v>
      </c>
      <c r="H4" s="17" t="s">
        <v>93</v>
      </c>
    </row>
    <row r="5" customFormat="false" ht="15" hidden="false" customHeight="false" outlineLevel="0" collapsed="false">
      <c r="B5" s="4" t="s">
        <v>68</v>
      </c>
      <c r="C5" s="20" t="n">
        <f aca="false">'Horas por producto'!G5</f>
        <v>16.6666666666667</v>
      </c>
      <c r="D5" s="21" t="n">
        <f aca="false">C5*Supuestos!$C$17</f>
        <v>26223.7762237762</v>
      </c>
      <c r="E5" s="15" t="n">
        <f aca="false">C5*Supuestos!$C$18</f>
        <v>40344.2711135019</v>
      </c>
      <c r="F5" s="21" t="n">
        <f aca="false">C5*Supuestos!$C$19</f>
        <v>54464.7660032275</v>
      </c>
      <c r="G5" s="21" t="n">
        <f aca="false">IFERROR(E5/Supuestos!$C$22,0)</f>
        <v>2180.77141154064</v>
      </c>
      <c r="H5" s="9" t="s">
        <v>94</v>
      </c>
    </row>
    <row r="6" customFormat="false" ht="15" hidden="false" customHeight="false" outlineLevel="0" collapsed="false">
      <c r="B6" s="4" t="s">
        <v>71</v>
      </c>
      <c r="C6" s="20" t="n">
        <f aca="false">'Horas por producto'!G6</f>
        <v>22.6666666666667</v>
      </c>
      <c r="D6" s="21" t="n">
        <f aca="false">C6*Supuestos!$C$17</f>
        <v>35664.3356643357</v>
      </c>
      <c r="E6" s="15" t="n">
        <f aca="false">C6*Supuestos!$C$18</f>
        <v>54868.2087143626</v>
      </c>
      <c r="F6" s="21" t="n">
        <f aca="false">C6*Supuestos!$C$19</f>
        <v>74072.0817643895</v>
      </c>
      <c r="G6" s="21" t="n">
        <f aca="false">IFERROR(E6/Supuestos!$C$22,0)</f>
        <v>2965.84911969527</v>
      </c>
      <c r="H6" s="9" t="s">
        <v>95</v>
      </c>
    </row>
    <row r="7" customFormat="false" ht="15" hidden="false" customHeight="false" outlineLevel="0" collapsed="false">
      <c r="B7" s="4" t="s">
        <v>74</v>
      </c>
      <c r="C7" s="20" t="n">
        <f aca="false">'Horas por producto'!G7</f>
        <v>14.3333333333333</v>
      </c>
      <c r="D7" s="21" t="n">
        <f aca="false">C7*Supuestos!$C$17</f>
        <v>22552.4475524476</v>
      </c>
      <c r="E7" s="15" t="n">
        <f aca="false">C7*Supuestos!$C$18</f>
        <v>34696.0731576116</v>
      </c>
      <c r="F7" s="21" t="n">
        <f aca="false">C7*Supuestos!$C$19</f>
        <v>46839.6987627757</v>
      </c>
      <c r="G7" s="21" t="n">
        <f aca="false">IFERROR(E7/Supuestos!$C$22,0)</f>
        <v>1875.46341392495</v>
      </c>
      <c r="H7" s="9" t="s">
        <v>96</v>
      </c>
    </row>
    <row r="8" customFormat="false" ht="15" hidden="false" customHeight="false" outlineLevel="0" collapsed="false">
      <c r="B8" s="4" t="s">
        <v>77</v>
      </c>
      <c r="C8" s="20" t="n">
        <f aca="false">'Horas por producto'!G8</f>
        <v>5.16666666666667</v>
      </c>
      <c r="D8" s="21" t="n">
        <f aca="false">C8*Supuestos!$C$17</f>
        <v>8129.37062937063</v>
      </c>
      <c r="E8" s="15" t="n">
        <f aca="false">C8*Supuestos!$C$18</f>
        <v>12506.7240451856</v>
      </c>
      <c r="F8" s="21" t="n">
        <f aca="false">C8*Supuestos!$C$19</f>
        <v>16884.0774610005</v>
      </c>
      <c r="G8" s="21" t="n">
        <f aca="false">IFERROR(E8/Supuestos!$C$22,0)</f>
        <v>676.039137577599</v>
      </c>
      <c r="H8" s="9" t="s">
        <v>97</v>
      </c>
    </row>
    <row r="9" customFormat="false" ht="15" hidden="false" customHeight="false" outlineLevel="0" collapsed="false">
      <c r="B9" s="4" t="s">
        <v>80</v>
      </c>
      <c r="C9" s="20" t="n">
        <f aca="false">'Horas por producto'!G9</f>
        <v>2.66666666666667</v>
      </c>
      <c r="D9" s="21" t="n">
        <f aca="false">C9*Supuestos!$C$17</f>
        <v>4195.8041958042</v>
      </c>
      <c r="E9" s="15" t="n">
        <f aca="false">C9*Supuestos!$C$18</f>
        <v>6455.0833781603</v>
      </c>
      <c r="F9" s="21" t="n">
        <f aca="false">C9*Supuestos!$C$19</f>
        <v>8714.36256051641</v>
      </c>
      <c r="G9" s="21" t="n">
        <f aca="false">IFERROR(E9/Supuestos!$C$22,0)</f>
        <v>348.923425846503</v>
      </c>
      <c r="H9" s="9" t="s">
        <v>98</v>
      </c>
    </row>
    <row r="10" customFormat="false" ht="15" hidden="false" customHeight="false" outlineLevel="0" collapsed="false">
      <c r="B10" s="4" t="s">
        <v>83</v>
      </c>
      <c r="C10" s="20" t="n">
        <f aca="false">'Horas por producto'!G10</f>
        <v>28.3333333333333</v>
      </c>
      <c r="D10" s="21" t="n">
        <f aca="false">C10*Supuestos!$C$17</f>
        <v>44580.4195804196</v>
      </c>
      <c r="E10" s="15" t="n">
        <f aca="false">C10*Supuestos!$C$18</f>
        <v>68585.2608929532</v>
      </c>
      <c r="F10" s="21" t="n">
        <f aca="false">C10*Supuestos!$C$19</f>
        <v>92590.1022054868</v>
      </c>
      <c r="G10" s="21" t="n">
        <f aca="false">IFERROR(E10/Supuestos!$C$22,0)</f>
        <v>3707.31139961909</v>
      </c>
      <c r="H10" s="9" t="s">
        <v>99</v>
      </c>
    </row>
    <row r="12" customFormat="false" ht="15" hidden="false" customHeight="false" outlineLevel="0" collapsed="false">
      <c r="B12" s="6" t="s">
        <v>100</v>
      </c>
    </row>
    <row r="13" customFormat="false" ht="68.65" hidden="false" customHeight="false" outlineLevel="0" collapsed="false">
      <c r="B13" s="7" t="s">
        <v>101</v>
      </c>
      <c r="C13" s="10" t="n">
        <v>12</v>
      </c>
      <c r="D13" s="9" t="s">
        <v>102</v>
      </c>
    </row>
    <row r="14" customFormat="false" ht="15" hidden="false" customHeight="false" outlineLevel="0" collapsed="false">
      <c r="B14" s="7" t="s">
        <v>103</v>
      </c>
      <c r="C14" s="21" t="n">
        <f aca="false">E8</f>
        <v>12506.7240451856</v>
      </c>
    </row>
    <row r="15" customFormat="false" ht="15" hidden="false" customHeight="false" outlineLevel="0" collapsed="false">
      <c r="B15" s="7" t="s">
        <v>104</v>
      </c>
      <c r="C15" s="21" t="n">
        <f aca="false">E9</f>
        <v>6455.0833781603</v>
      </c>
    </row>
    <row r="16" customFormat="false" ht="15" hidden="false" customHeight="false" outlineLevel="0" collapsed="false">
      <c r="B16" s="4" t="s">
        <v>105</v>
      </c>
      <c r="C16" s="15" t="n">
        <f aca="false">C14+C13*C15</f>
        <v>89967.7245831092</v>
      </c>
    </row>
    <row r="17" customFormat="false" ht="15" hidden="false" customHeight="false" outlineLevel="0" collapsed="false">
      <c r="B17" s="4" t="s">
        <v>106</v>
      </c>
      <c r="C17" s="12" t="n">
        <f aca="false">'Horas por producto'!G8+C13*'Horas por producto'!G9</f>
        <v>37.1666666666667</v>
      </c>
    </row>
    <row r="19" customFormat="false" ht="15" hidden="false" customHeight="true" outlineLevel="0" collapsed="false">
      <c r="B19" s="19" t="s">
        <v>107</v>
      </c>
      <c r="C19" s="19"/>
      <c r="D19" s="19"/>
      <c r="E19" s="19"/>
      <c r="F19" s="19"/>
      <c r="G19" s="19"/>
      <c r="H19" s="19"/>
    </row>
    <row r="20" customFormat="false" ht="15" hidden="false" customHeight="false" outlineLevel="0" collapsed="false">
      <c r="B20" s="19"/>
      <c r="C20" s="19"/>
      <c r="D20" s="19"/>
      <c r="E20" s="19"/>
      <c r="F20" s="19"/>
      <c r="G20" s="19"/>
      <c r="H20" s="19"/>
    </row>
  </sheetData>
  <mergeCells count="1">
    <mergeCell ref="B19: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6"/>
    <col collapsed="false" customWidth="true" hidden="false" outlineLevel="0" max="4" min="4" style="0" width="80"/>
  </cols>
  <sheetData>
    <row r="1" customFormat="false" ht="17.35" hidden="false" customHeight="false" outlineLevel="0" collapsed="false">
      <c r="A1" s="1" t="s">
        <v>108</v>
      </c>
    </row>
    <row r="2" customFormat="false" ht="15" hidden="false" customHeight="false" outlineLevel="0" collapsed="false">
      <c r="A2" s="2" t="s">
        <v>109</v>
      </c>
    </row>
    <row r="4" customFormat="false" ht="15" hidden="false" customHeight="false" outlineLevel="0" collapsed="false">
      <c r="B4" s="6" t="s">
        <v>110</v>
      </c>
    </row>
    <row r="5" customFormat="false" ht="15" hidden="false" customHeight="false" outlineLevel="0" collapsed="false">
      <c r="B5" s="7" t="s">
        <v>39</v>
      </c>
      <c r="C5" s="20" t="n">
        <f aca="false">Supuestos!C8</f>
        <v>343.2</v>
      </c>
    </row>
    <row r="6" customFormat="false" ht="15" hidden="false" customHeight="false" outlineLevel="0" collapsed="false">
      <c r="B6" s="4" t="s">
        <v>111</v>
      </c>
      <c r="C6" s="18" t="n">
        <f aca="false">C5/12</f>
        <v>28.6</v>
      </c>
    </row>
    <row r="8" customFormat="false" ht="15" hidden="false" customHeight="false" outlineLevel="0" collapsed="false">
      <c r="B8" s="6" t="s">
        <v>112</v>
      </c>
    </row>
    <row r="9" customFormat="false" ht="15" hidden="false" customHeight="false" outlineLevel="0" collapsed="false">
      <c r="B9" s="7" t="s">
        <v>113</v>
      </c>
      <c r="C9" s="20" t="n">
        <f aca="false">'Bandas de precio'!C17</f>
        <v>37.1666666666667</v>
      </c>
    </row>
    <row r="10" customFormat="false" ht="15" hidden="false" customHeight="false" outlineLevel="0" collapsed="false">
      <c r="B10" s="7" t="s">
        <v>114</v>
      </c>
      <c r="C10" s="20" t="n">
        <f aca="false">'Horas por producto'!G10</f>
        <v>28.3333333333333</v>
      </c>
    </row>
    <row r="12" customFormat="false" ht="15" hidden="false" customHeight="false" outlineLevel="0" collapsed="false">
      <c r="B12" s="6" t="s">
        <v>115</v>
      </c>
    </row>
    <row r="13" customFormat="false" ht="23.85" hidden="false" customHeight="false" outlineLevel="0" collapsed="false">
      <c r="B13" s="4" t="s">
        <v>116</v>
      </c>
      <c r="C13" s="22" t="n">
        <f aca="false">IFERROR(C6/C9,0)</f>
        <v>0.769506726457399</v>
      </c>
      <c r="D13" s="23" t="str">
        <f aca="false">IF(C13&lt;1,"NO CABE NI UNO. Al volumen supuesto, un solo cliente MANAGE pide más horas de las que hay en el mes.","Caben "&amp;TEXT(C13,"0.0")&amp;". Redondea hacia abajo.")</f>
        <v>NO CABE NI UNO. Al volumen supuesto, un solo cliente MANAGE pide más horas de las que hay en el mes.</v>
      </c>
    </row>
    <row r="14" customFormat="false" ht="15" hidden="false" customHeight="false" outlineLevel="0" collapsed="false">
      <c r="B14" s="4" t="s">
        <v>117</v>
      </c>
      <c r="C14" s="22" t="n">
        <f aca="false">IFERROR(C6/C10,0)</f>
        <v>1.00941176470588</v>
      </c>
      <c r="D14" s="23" t="str">
        <f aca="false">IF(C14&lt;1,"NO CABE. Lanzar solo START y MANAGE.","Cabe justo "&amp;TEXT(C14,"0.00")&amp;"x: sin margen para un imprevisto ni para vender el siguiente proyecto.")</f>
        <v>Cabe justo 1.01x: sin margen para un imprevisto ni para vender el siguiente proyecto.</v>
      </c>
    </row>
    <row r="16" customFormat="false" ht="15" hidden="false" customHeight="false" outlineLevel="0" collapsed="false">
      <c r="B16" s="6" t="s">
        <v>118</v>
      </c>
    </row>
    <row r="17" customFormat="false" ht="15" hidden="false" customHeight="false" outlineLevel="0" collapsed="false">
      <c r="B17" s="7" t="s">
        <v>119</v>
      </c>
      <c r="C17" s="24" t="n">
        <f aca="false">C6-'Horas por producto'!G8</f>
        <v>23.4333333333333</v>
      </c>
    </row>
    <row r="18" customFormat="false" ht="23.85" hidden="false" customHeight="false" outlineLevel="0" collapsed="false">
      <c r="B18" s="4" t="s">
        <v>120</v>
      </c>
      <c r="C18" s="18" t="n">
        <f aca="false">IFERROR(C17/'Horas por producto'!G9,0)</f>
        <v>8.7875</v>
      </c>
      <c r="D18" s="9" t="s">
        <v>121</v>
      </c>
    </row>
    <row r="19" customFormat="false" ht="23.85" hidden="false" customHeight="false" outlineLevel="0" collapsed="false">
      <c r="B19" s="7" t="s">
        <v>122</v>
      </c>
      <c r="C19" s="25" t="n">
        <f aca="false">'Bandas de precio'!C13</f>
        <v>12</v>
      </c>
      <c r="D19" s="23" t="str">
        <f aca="false">IF(C19&gt;C18,"El volumen supuesto NO cabe. Baja el volumen, sube las horas disponibles, o no vendas MANAGE todavía.","El volumen supuesto cabe.")</f>
        <v>El volumen supuesto NO cabe. Baja el volumen, sube las horas disponibles, o no vendas MANAGE todavía.</v>
      </c>
    </row>
    <row r="21" customFormat="false" ht="15" hidden="false" customHeight="false" outlineLevel="0" collapsed="false">
      <c r="B21" s="6" t="s">
        <v>123</v>
      </c>
    </row>
    <row r="22" customFormat="false" ht="15" hidden="false" customHeight="false" outlineLevel="0" collapsed="false">
      <c r="B22" s="7" t="s">
        <v>124</v>
      </c>
      <c r="C22" s="10" t="n">
        <v>2</v>
      </c>
      <c r="D22" s="9" t="s">
        <v>125</v>
      </c>
    </row>
    <row r="23" customFormat="false" ht="15" hidden="false" customHeight="false" outlineLevel="0" collapsed="false">
      <c r="B23" s="4" t="s">
        <v>126</v>
      </c>
      <c r="C23" s="26" t="n">
        <f aca="false">MIN(C22,INT(C13))</f>
        <v>0</v>
      </c>
      <c r="D23" s="9" t="s">
        <v>127</v>
      </c>
    </row>
    <row r="24" customFormat="false" ht="15" hidden="false" customHeight="false" outlineLevel="0" collapsed="false">
      <c r="B24" s="4" t="s">
        <v>128</v>
      </c>
      <c r="C24" s="15" t="n">
        <f aca="false">'Bandas de precio'!C16*C23*12</f>
        <v>0</v>
      </c>
    </row>
    <row r="25" customFormat="false" ht="15" hidden="false" customHeight="false" outlineLevel="0" collapsed="false">
      <c r="B25" s="7" t="s">
        <v>129</v>
      </c>
      <c r="C25" s="27" t="n">
        <f aca="false">Supuestos!C11</f>
        <v>480000</v>
      </c>
    </row>
    <row r="26" customFormat="false" ht="23.85" hidden="false" customHeight="false" outlineLevel="0" collapsed="false">
      <c r="B26" s="4" t="s">
        <v>130</v>
      </c>
      <c r="C26" s="28" t="n">
        <f aca="false">C24-C25</f>
        <v>-480000</v>
      </c>
      <c r="D26" s="23" t="str">
        <f aca="false">IF(C23=0,"Con esta capacidad no cabe ningún cliente MANAGE: el ingreso tiene que venir de diagnósticos y proyectos START.",IF(C26&lt;0,"Falta. Sube precio, sube horas o baja el objetivo.","El objetivo se alcanza."))</f>
        <v>Con esta capacidad no cabe ningún cliente MANAGE: el ingreso tiene que venir de diagnósticos y proyectos START.</v>
      </c>
    </row>
    <row r="28" customFormat="false" ht="15" hidden="false" customHeight="false" outlineLevel="0" collapsed="false">
      <c r="B28" s="6" t="s">
        <v>131</v>
      </c>
    </row>
    <row r="29" customFormat="false" ht="15" hidden="false" customHeight="false" outlineLevel="0" collapsed="false">
      <c r="B29" s="7" t="s">
        <v>132</v>
      </c>
      <c r="C29" s="10" t="n">
        <v>8</v>
      </c>
      <c r="D29" s="9" t="s">
        <v>133</v>
      </c>
    </row>
    <row r="30" customFormat="false" ht="15" hidden="false" customHeight="false" outlineLevel="0" collapsed="false">
      <c r="B30" s="7" t="s">
        <v>134</v>
      </c>
      <c r="C30" s="10" t="n">
        <v>4</v>
      </c>
      <c r="D30" s="9" t="s">
        <v>135</v>
      </c>
    </row>
    <row r="31" customFormat="false" ht="15" hidden="false" customHeight="false" outlineLevel="0" collapsed="false">
      <c r="B31" s="7" t="s">
        <v>136</v>
      </c>
      <c r="C31" s="12" t="n">
        <f aca="false">C29*'Horas por producto'!G5+C30*'Horas por producto'!G6</f>
        <v>224</v>
      </c>
    </row>
    <row r="32" customFormat="false" ht="15" hidden="false" customHeight="false" outlineLevel="0" collapsed="false">
      <c r="B32" s="7" t="s">
        <v>137</v>
      </c>
      <c r="C32" s="24" t="n">
        <f aca="false">C5</f>
        <v>343.2</v>
      </c>
    </row>
    <row r="33" customFormat="false" ht="15" hidden="false" customHeight="false" outlineLevel="0" collapsed="false">
      <c r="B33" s="4" t="s">
        <v>138</v>
      </c>
      <c r="C33" s="18" t="n">
        <f aca="false">C32-C31</f>
        <v>119.2</v>
      </c>
    </row>
    <row r="34" customFormat="false" ht="15" hidden="false" customHeight="false" outlineLevel="0" collapsed="false">
      <c r="B34" s="4" t="s">
        <v>139</v>
      </c>
      <c r="C34" s="15" t="n">
        <f aca="false">C29*'Bandas de precio'!E5+C30*'Bandas de precio'!E6</f>
        <v>542227.003765465</v>
      </c>
    </row>
    <row r="35" customFormat="false" ht="15" hidden="false" customHeight="false" outlineLevel="0" collapsed="false">
      <c r="B35" s="4" t="s">
        <v>140</v>
      </c>
      <c r="C35" s="28" t="n">
        <f aca="false">C34-Supuestos!C11</f>
        <v>62227.0037654653</v>
      </c>
      <c r="D35" s="29" t="str">
        <f aca="false">IF(C33&lt;0,"Este plan tampoco cabe: baja el número de proyectos.",IF(C35&gt;=0,"Este plan alcanza el objetivo Y deja "&amp;TEXT(C33,"0")&amp;" horas libres para un cliente recurrente.","No alcanza el objetivo, pero cabe. Suma proyectos o sube precio."))</f>
        <v>Este plan alcanza el objetivo Y deja 119 horas libres para un cliente recurrente.</v>
      </c>
    </row>
    <row r="37" customFormat="false" ht="15" hidden="false" customHeight="true" outlineLevel="0" collapsed="false">
      <c r="B37" s="19" t="s">
        <v>141</v>
      </c>
      <c r="C37" s="19"/>
      <c r="D37" s="19"/>
    </row>
    <row r="38" customFormat="false" ht="15" hidden="false" customHeight="false" outlineLevel="0" collapsed="false">
      <c r="B38" s="19"/>
      <c r="C38" s="19"/>
      <c r="D38" s="19"/>
    </row>
    <row r="39" customFormat="false" ht="15" hidden="false" customHeight="false" outlineLevel="0" collapsed="false">
      <c r="B39" s="19"/>
      <c r="C39" s="19"/>
      <c r="D39" s="19"/>
    </row>
  </sheetData>
  <mergeCells count="1">
    <mergeCell ref="B37: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7" min="3" style="0" width="15"/>
  </cols>
  <sheetData>
    <row r="1" customFormat="false" ht="17.35" hidden="false" customHeight="false" outlineLevel="0" collapsed="false">
      <c r="A1" s="1" t="s">
        <v>142</v>
      </c>
    </row>
    <row r="2" customFormat="false" ht="15" hidden="false" customHeight="false" outlineLevel="0" collapsed="false">
      <c r="A2" s="2" t="s">
        <v>143</v>
      </c>
    </row>
    <row r="4" customFormat="false" ht="30" hidden="false" customHeight="true" outlineLevel="0" collapsed="false">
      <c r="B4" s="30" t="s">
        <v>144</v>
      </c>
      <c r="C4" s="31" t="n">
        <v>0.2</v>
      </c>
      <c r="D4" s="31" t="n">
        <v>0.28</v>
      </c>
      <c r="E4" s="31" t="n">
        <v>0.35</v>
      </c>
      <c r="F4" s="31" t="n">
        <v>0.42</v>
      </c>
      <c r="G4" s="31" t="n">
        <v>0.5</v>
      </c>
    </row>
    <row r="5" customFormat="false" ht="15" hidden="false" customHeight="false" outlineLevel="0" collapsed="false">
      <c r="B5" s="8" t="n">
        <v>6</v>
      </c>
      <c r="C5" s="21" t="n">
        <f aca="false">IFERROR((Supuestos!$C$11+Supuestos!$C$12)/($B5*Supuestos!$C$6*(1-Supuestos!$C$7))/(1-C$4),0)</f>
        <v>3933.56643356643</v>
      </c>
      <c r="D5" s="21" t="n">
        <f aca="false">IFERROR((Supuestos!$C$11+Supuestos!$C$12)/($B5*Supuestos!$C$6*(1-Supuestos!$C$7))/(1-D$4),0)</f>
        <v>4370.62937062937</v>
      </c>
      <c r="E5" s="21" t="n">
        <f aca="false">IFERROR((Supuestos!$C$11+Supuestos!$C$12)/($B5*Supuestos!$C$6*(1-Supuestos!$C$7))/(1-E$4),0)</f>
        <v>4841.31253362023</v>
      </c>
      <c r="F5" s="21" t="n">
        <f aca="false">IFERROR((Supuestos!$C$11+Supuestos!$C$12)/($B5*Supuestos!$C$6*(1-Supuestos!$C$7))/(1-F$4),0)</f>
        <v>5425.60887388474</v>
      </c>
      <c r="G5" s="21" t="n">
        <f aca="false">IFERROR((Supuestos!$C$11+Supuestos!$C$12)/($B5*Supuestos!$C$6*(1-Supuestos!$C$7))/(1-G$4),0)</f>
        <v>6293.70629370629</v>
      </c>
    </row>
    <row r="6" customFormat="false" ht="15" hidden="false" customHeight="false" outlineLevel="0" collapsed="false">
      <c r="B6" s="8" t="n">
        <v>9</v>
      </c>
      <c r="C6" s="21" t="n">
        <f aca="false">IFERROR((Supuestos!$C$11+Supuestos!$C$12)/($B6*Supuestos!$C$6*(1-Supuestos!$C$7))/(1-C$4),0)</f>
        <v>2622.37762237762</v>
      </c>
      <c r="D6" s="21" t="n">
        <f aca="false">IFERROR((Supuestos!$C$11+Supuestos!$C$12)/($B6*Supuestos!$C$6*(1-Supuestos!$C$7))/(1-D$4),0)</f>
        <v>2913.75291375291</v>
      </c>
      <c r="E6" s="21" t="n">
        <f aca="false">IFERROR((Supuestos!$C$11+Supuestos!$C$12)/($B6*Supuestos!$C$6*(1-Supuestos!$C$7))/(1-E$4),0)</f>
        <v>3227.54168908015</v>
      </c>
      <c r="F6" s="21" t="n">
        <f aca="false">IFERROR((Supuestos!$C$11+Supuestos!$C$12)/($B6*Supuestos!$C$6*(1-Supuestos!$C$7))/(1-F$4),0)</f>
        <v>3617.07258258982</v>
      </c>
      <c r="G6" s="21" t="n">
        <f aca="false">IFERROR((Supuestos!$C$11+Supuestos!$C$12)/($B6*Supuestos!$C$6*(1-Supuestos!$C$7))/(1-G$4),0)</f>
        <v>4195.8041958042</v>
      </c>
    </row>
    <row r="7" customFormat="false" ht="15" hidden="false" customHeight="false" outlineLevel="0" collapsed="false">
      <c r="B7" s="8" t="n">
        <v>12</v>
      </c>
      <c r="C7" s="21" t="n">
        <f aca="false">IFERROR((Supuestos!$C$11+Supuestos!$C$12)/($B7*Supuestos!$C$6*(1-Supuestos!$C$7))/(1-C$4),0)</f>
        <v>1966.78321678322</v>
      </c>
      <c r="D7" s="21" t="n">
        <f aca="false">IFERROR((Supuestos!$C$11+Supuestos!$C$12)/($B7*Supuestos!$C$6*(1-Supuestos!$C$7))/(1-D$4),0)</f>
        <v>2185.31468531469</v>
      </c>
      <c r="E7" s="21" t="n">
        <f aca="false">IFERROR((Supuestos!$C$11+Supuestos!$C$12)/($B7*Supuestos!$C$6*(1-Supuestos!$C$7))/(1-E$4),0)</f>
        <v>2420.65626681011</v>
      </c>
      <c r="F7" s="21" t="n">
        <f aca="false">IFERROR((Supuestos!$C$11+Supuestos!$C$12)/($B7*Supuestos!$C$6*(1-Supuestos!$C$7))/(1-F$4),0)</f>
        <v>2712.80443694237</v>
      </c>
      <c r="G7" s="21" t="n">
        <f aca="false">IFERROR((Supuestos!$C$11+Supuestos!$C$12)/($B7*Supuestos!$C$6*(1-Supuestos!$C$7))/(1-G$4),0)</f>
        <v>3146.85314685315</v>
      </c>
    </row>
    <row r="8" customFormat="false" ht="15" hidden="false" customHeight="false" outlineLevel="0" collapsed="false">
      <c r="B8" s="8" t="n">
        <v>16</v>
      </c>
      <c r="C8" s="21" t="n">
        <f aca="false">IFERROR((Supuestos!$C$11+Supuestos!$C$12)/($B8*Supuestos!$C$6*(1-Supuestos!$C$7))/(1-C$4),0)</f>
        <v>1475.08741258741</v>
      </c>
      <c r="D8" s="21" t="n">
        <f aca="false">IFERROR((Supuestos!$C$11+Supuestos!$C$12)/($B8*Supuestos!$C$6*(1-Supuestos!$C$7))/(1-D$4),0)</f>
        <v>1638.98601398601</v>
      </c>
      <c r="E8" s="21" t="n">
        <f aca="false">IFERROR((Supuestos!$C$11+Supuestos!$C$12)/($B8*Supuestos!$C$6*(1-Supuestos!$C$7))/(1-E$4),0)</f>
        <v>1815.49220010758</v>
      </c>
      <c r="F8" s="21" t="n">
        <f aca="false">IFERROR((Supuestos!$C$11+Supuestos!$C$12)/($B8*Supuestos!$C$6*(1-Supuestos!$C$7))/(1-F$4),0)</f>
        <v>2034.60332770678</v>
      </c>
      <c r="G8" s="21" t="n">
        <f aca="false">IFERROR((Supuestos!$C$11+Supuestos!$C$12)/($B8*Supuestos!$C$6*(1-Supuestos!$C$7))/(1-G$4),0)</f>
        <v>2360.13986013986</v>
      </c>
    </row>
    <row r="9" customFormat="false" ht="15" hidden="false" customHeight="false" outlineLevel="0" collapsed="false">
      <c r="B9" s="8" t="n">
        <v>20</v>
      </c>
      <c r="C9" s="21" t="n">
        <f aca="false">IFERROR((Supuestos!$C$11+Supuestos!$C$12)/($B9*Supuestos!$C$6*(1-Supuestos!$C$7))/(1-C$4),0)</f>
        <v>1180.06993006993</v>
      </c>
      <c r="D9" s="21" t="n">
        <f aca="false">IFERROR((Supuestos!$C$11+Supuestos!$C$12)/($B9*Supuestos!$C$6*(1-Supuestos!$C$7))/(1-D$4),0)</f>
        <v>1311.18881118881</v>
      </c>
      <c r="E9" s="21" t="n">
        <f aca="false">IFERROR((Supuestos!$C$11+Supuestos!$C$12)/($B9*Supuestos!$C$6*(1-Supuestos!$C$7))/(1-E$4),0)</f>
        <v>1452.39376008607</v>
      </c>
      <c r="F9" s="21" t="n">
        <f aca="false">IFERROR((Supuestos!$C$11+Supuestos!$C$12)/($B9*Supuestos!$C$6*(1-Supuestos!$C$7))/(1-F$4),0)</f>
        <v>1627.68266216542</v>
      </c>
      <c r="G9" s="21" t="n">
        <f aca="false">IFERROR((Supuestos!$C$11+Supuestos!$C$12)/($B9*Supuestos!$C$6*(1-Supuestos!$C$7))/(1-G$4),0)</f>
        <v>1888.11188811189</v>
      </c>
    </row>
    <row r="12" customFormat="false" ht="15" hidden="false" customHeight="true" outlineLevel="0" collapsed="false">
      <c r="B12" s="19" t="s">
        <v>145</v>
      </c>
      <c r="C12" s="19"/>
      <c r="D12" s="19"/>
      <c r="E12" s="19"/>
      <c r="F12" s="19"/>
      <c r="G12" s="19"/>
    </row>
    <row r="13" customFormat="false" ht="15" hidden="false" customHeight="false" outlineLevel="0" collapsed="false">
      <c r="B13" s="19"/>
      <c r="C13" s="19"/>
      <c r="D13" s="19"/>
      <c r="E13" s="19"/>
      <c r="F13" s="19"/>
      <c r="G13" s="19"/>
    </row>
  </sheetData>
  <mergeCells count="1">
    <mergeCell ref="B12: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52"/>
    <col collapsed="false" customWidth="true" hidden="false" outlineLevel="0" max="6" min="4" style="0" width="16"/>
  </cols>
  <sheetData>
    <row r="1" customFormat="false" ht="17.35" hidden="false" customHeight="false" outlineLevel="0" collapsed="false">
      <c r="A1" s="1" t="s">
        <v>146</v>
      </c>
    </row>
    <row r="2" customFormat="false" ht="15" hidden="false" customHeight="false" outlineLevel="0" collapsed="false">
      <c r="A2" s="2" t="s">
        <v>147</v>
      </c>
    </row>
    <row r="4" customFormat="false" ht="30" hidden="false" customHeight="true" outlineLevel="0" collapsed="false">
      <c r="B4" s="17" t="s">
        <v>148</v>
      </c>
      <c r="C4" s="17" t="s">
        <v>149</v>
      </c>
      <c r="D4" s="17" t="s">
        <v>71</v>
      </c>
      <c r="E4" s="17" t="s">
        <v>150</v>
      </c>
      <c r="F4" s="17" t="s">
        <v>151</v>
      </c>
    </row>
    <row r="5" customFormat="false" ht="15" hidden="false" customHeight="false" outlineLevel="0" collapsed="false">
      <c r="B5" s="4" t="s">
        <v>152</v>
      </c>
      <c r="C5" s="5" t="s">
        <v>153</v>
      </c>
      <c r="D5" s="32" t="s">
        <v>154</v>
      </c>
      <c r="E5" s="32" t="s">
        <v>154</v>
      </c>
      <c r="F5" s="32" t="s">
        <v>154</v>
      </c>
    </row>
    <row r="6" customFormat="false" ht="15" hidden="false" customHeight="false" outlineLevel="0" collapsed="false">
      <c r="B6" s="4" t="s">
        <v>155</v>
      </c>
      <c r="C6" s="5" t="s">
        <v>156</v>
      </c>
      <c r="D6" s="32" t="s">
        <v>154</v>
      </c>
      <c r="E6" s="32" t="s">
        <v>154</v>
      </c>
      <c r="F6" s="32" t="s">
        <v>154</v>
      </c>
    </row>
    <row r="7" customFormat="false" ht="15" hidden="false" customHeight="false" outlineLevel="0" collapsed="false">
      <c r="B7" s="4" t="s">
        <v>157</v>
      </c>
      <c r="C7" s="5" t="s">
        <v>158</v>
      </c>
      <c r="D7" s="33" t="s">
        <v>159</v>
      </c>
      <c r="E7" s="32" t="s">
        <v>154</v>
      </c>
      <c r="F7" s="32" t="s">
        <v>154</v>
      </c>
    </row>
    <row r="8" customFormat="false" ht="15" hidden="false" customHeight="false" outlineLevel="0" collapsed="false">
      <c r="B8" s="4" t="s">
        <v>160</v>
      </c>
      <c r="C8" s="5" t="s">
        <v>161</v>
      </c>
      <c r="D8" s="33" t="s">
        <v>159</v>
      </c>
      <c r="E8" s="32" t="s">
        <v>154</v>
      </c>
      <c r="F8" s="32" t="s">
        <v>154</v>
      </c>
    </row>
    <row r="9" customFormat="false" ht="15" hidden="false" customHeight="false" outlineLevel="0" collapsed="false">
      <c r="B9" s="4" t="s">
        <v>162</v>
      </c>
      <c r="C9" s="5" t="s">
        <v>163</v>
      </c>
      <c r="D9" s="33" t="s">
        <v>159</v>
      </c>
      <c r="E9" s="32" t="s">
        <v>154</v>
      </c>
      <c r="F9" s="32" t="s">
        <v>154</v>
      </c>
    </row>
    <row r="10" customFormat="false" ht="15" hidden="false" customHeight="false" outlineLevel="0" collapsed="false">
      <c r="B10" s="4" t="s">
        <v>164</v>
      </c>
      <c r="C10" s="5" t="s">
        <v>165</v>
      </c>
      <c r="D10" s="33" t="s">
        <v>159</v>
      </c>
      <c r="E10" s="32" t="s">
        <v>154</v>
      </c>
      <c r="F10" s="32" t="s">
        <v>154</v>
      </c>
    </row>
    <row r="11" customFormat="false" ht="15" hidden="false" customHeight="false" outlineLevel="0" collapsed="false">
      <c r="B11" s="4" t="s">
        <v>166</v>
      </c>
      <c r="C11" s="5" t="s">
        <v>167</v>
      </c>
      <c r="D11" s="34" t="s">
        <v>168</v>
      </c>
      <c r="E11" s="34" t="s">
        <v>168</v>
      </c>
      <c r="F11" s="32" t="s">
        <v>154</v>
      </c>
    </row>
    <row r="12" customFormat="false" ht="15" hidden="false" customHeight="false" outlineLevel="0" collapsed="false">
      <c r="B12" s="4" t="s">
        <v>169</v>
      </c>
      <c r="C12" s="5" t="s">
        <v>170</v>
      </c>
      <c r="D12" s="33" t="s">
        <v>159</v>
      </c>
      <c r="E12" s="34" t="s">
        <v>168</v>
      </c>
      <c r="F12" s="32" t="s">
        <v>154</v>
      </c>
    </row>
    <row r="13" customFormat="false" ht="15" hidden="false" customHeight="false" outlineLevel="0" collapsed="false">
      <c r="B13" s="4" t="s">
        <v>171</v>
      </c>
      <c r="C13" s="5" t="s">
        <v>172</v>
      </c>
      <c r="D13" s="33" t="s">
        <v>159</v>
      </c>
      <c r="E13" s="33" t="s">
        <v>159</v>
      </c>
      <c r="F13" s="32" t="s">
        <v>154</v>
      </c>
    </row>
    <row r="14" customFormat="false" ht="15" hidden="false" customHeight="false" outlineLevel="0" collapsed="false">
      <c r="B14" s="4" t="s">
        <v>173</v>
      </c>
      <c r="C14" s="5" t="s">
        <v>174</v>
      </c>
      <c r="D14" s="33" t="s">
        <v>159</v>
      </c>
      <c r="E14" s="33" t="s">
        <v>159</v>
      </c>
      <c r="F14" s="32" t="s">
        <v>154</v>
      </c>
    </row>
    <row r="15" customFormat="false" ht="15" hidden="false" customHeight="false" outlineLevel="0" collapsed="false">
      <c r="B15" s="4" t="s">
        <v>175</v>
      </c>
      <c r="C15" s="5" t="s">
        <v>176</v>
      </c>
      <c r="D15" s="33" t="s">
        <v>159</v>
      </c>
      <c r="E15" s="33" t="s">
        <v>159</v>
      </c>
      <c r="F15" s="32" t="s">
        <v>154</v>
      </c>
    </row>
    <row r="16" customFormat="false" ht="15" hidden="false" customHeight="false" outlineLevel="0" collapsed="false">
      <c r="B16" s="4" t="s">
        <v>177</v>
      </c>
      <c r="C16" s="5" t="s">
        <v>178</v>
      </c>
      <c r="D16" s="33" t="s">
        <v>159</v>
      </c>
      <c r="E16" s="33" t="s">
        <v>159</v>
      </c>
      <c r="F16" s="32" t="s">
        <v>154</v>
      </c>
    </row>
    <row r="17" customFormat="false" ht="15" hidden="false" customHeight="false" outlineLevel="0" collapsed="false">
      <c r="B17" s="4" t="s">
        <v>179</v>
      </c>
      <c r="C17" s="5" t="s">
        <v>180</v>
      </c>
      <c r="D17" s="34" t="s">
        <v>168</v>
      </c>
      <c r="E17" s="34" t="s">
        <v>168</v>
      </c>
      <c r="F17" s="34" t="s">
        <v>168</v>
      </c>
    </row>
    <row r="18" customFormat="false" ht="15" hidden="false" customHeight="false" outlineLevel="0" collapsed="false">
      <c r="B18" s="4" t="s">
        <v>181</v>
      </c>
      <c r="C18" s="5" t="s">
        <v>182</v>
      </c>
      <c r="D18" s="34" t="s">
        <v>168</v>
      </c>
      <c r="E18" s="34" t="s">
        <v>168</v>
      </c>
      <c r="F18" s="34" t="s">
        <v>168</v>
      </c>
    </row>
    <row r="20" customFormat="false" ht="15" hidden="false" customHeight="false" outlineLevel="0" collapsed="false">
      <c r="B20" s="6" t="s">
        <v>183</v>
      </c>
    </row>
    <row r="21" customFormat="false" ht="15" hidden="false" customHeight="false" outlineLevel="0" collapsed="false">
      <c r="B21" s="4" t="s">
        <v>71</v>
      </c>
      <c r="C21" s="2" t="s">
        <v>184</v>
      </c>
      <c r="D21" s="27" t="n">
        <f aca="false">'Bandas de precio'!E6</f>
        <v>54868.2087143626</v>
      </c>
    </row>
    <row r="22" customFormat="false" ht="15" hidden="false" customHeight="false" outlineLevel="0" collapsed="false">
      <c r="B22" s="4" t="s">
        <v>150</v>
      </c>
      <c r="C22" s="2" t="s">
        <v>185</v>
      </c>
      <c r="D22" s="27" t="n">
        <f aca="false">'Bandas de precio'!C16</f>
        <v>89967.7245831092</v>
      </c>
    </row>
    <row r="23" customFormat="false" ht="15" hidden="false" customHeight="false" outlineLevel="0" collapsed="false">
      <c r="B23" s="4" t="s">
        <v>151</v>
      </c>
      <c r="C23" s="2" t="s">
        <v>99</v>
      </c>
      <c r="D23" s="27" t="n">
        <f aca="false">'Bandas de precio'!E10</f>
        <v>68585.2608929532</v>
      </c>
    </row>
    <row r="25" customFormat="false" ht="15" hidden="false" customHeight="true" outlineLevel="0" collapsed="false">
      <c r="B25" s="35" t="s">
        <v>186</v>
      </c>
      <c r="C25" s="35"/>
      <c r="D25" s="35"/>
      <c r="E25" s="35"/>
      <c r="F25" s="35"/>
    </row>
    <row r="26" customFormat="false" ht="15" hidden="false" customHeight="false" outlineLevel="0" collapsed="false">
      <c r="B26" s="35"/>
      <c r="C26" s="35"/>
      <c r="D26" s="35"/>
      <c r="E26" s="35"/>
      <c r="F26" s="35"/>
    </row>
  </sheetData>
  <mergeCells count="1">
    <mergeCell ref="B25: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5" min="3" style="0" width="20"/>
    <col collapsed="false" customWidth="true" hidden="false" outlineLevel="0" max="6" min="6" style="0" width="44"/>
  </cols>
  <sheetData>
    <row r="1" customFormat="false" ht="17.35" hidden="false" customHeight="false" outlineLevel="0" collapsed="false">
      <c r="A1" s="1" t="s">
        <v>187</v>
      </c>
    </row>
    <row r="2" customFormat="false" ht="15" hidden="false" customHeight="false" outlineLevel="0" collapsed="false">
      <c r="A2" s="2" t="s">
        <v>188</v>
      </c>
    </row>
    <row r="4" customFormat="false" ht="15" hidden="false" customHeight="true" outlineLevel="0" collapsed="false">
      <c r="B4" s="19" t="s">
        <v>189</v>
      </c>
      <c r="C4" s="19"/>
      <c r="D4" s="19"/>
      <c r="E4" s="19"/>
      <c r="F4" s="19"/>
    </row>
    <row r="5" customFormat="false" ht="15" hidden="false" customHeight="false" outlineLevel="0" collapsed="false">
      <c r="B5" s="19"/>
      <c r="C5" s="19"/>
      <c r="D5" s="19"/>
      <c r="E5" s="19"/>
      <c r="F5" s="19"/>
    </row>
    <row r="7" customFormat="false" ht="30" hidden="false" customHeight="true" outlineLevel="0" collapsed="false">
      <c r="B7" s="17" t="s">
        <v>190</v>
      </c>
      <c r="C7" s="17" t="s">
        <v>191</v>
      </c>
      <c r="D7" s="17" t="s">
        <v>192</v>
      </c>
      <c r="E7" s="17" t="s">
        <v>193</v>
      </c>
      <c r="F7" s="17" t="s">
        <v>194</v>
      </c>
    </row>
    <row r="8" customFormat="false" ht="30" hidden="false" customHeight="true" outlineLevel="0" collapsed="false">
      <c r="B8" s="7" t="s">
        <v>195</v>
      </c>
      <c r="C8" s="5" t="s">
        <v>196</v>
      </c>
      <c r="D8" s="13"/>
      <c r="E8" s="36"/>
      <c r="F8" s="36"/>
    </row>
    <row r="9" customFormat="false" ht="30" hidden="false" customHeight="true" outlineLevel="0" collapsed="false">
      <c r="B9" s="7" t="s">
        <v>197</v>
      </c>
      <c r="C9" s="5" t="s">
        <v>198</v>
      </c>
      <c r="D9" s="13"/>
      <c r="E9" s="36"/>
      <c r="F9" s="36"/>
    </row>
    <row r="10" customFormat="false" ht="30" hidden="false" customHeight="true" outlineLevel="0" collapsed="false">
      <c r="B10" s="7" t="s">
        <v>199</v>
      </c>
      <c r="C10" s="5" t="s">
        <v>200</v>
      </c>
      <c r="D10" s="13"/>
      <c r="E10" s="36"/>
      <c r="F10" s="36"/>
    </row>
    <row r="11" customFormat="false" ht="30" hidden="false" customHeight="true" outlineLevel="0" collapsed="false">
      <c r="B11" s="7" t="s">
        <v>201</v>
      </c>
      <c r="C11" s="5" t="s">
        <v>202</v>
      </c>
      <c r="D11" s="13"/>
      <c r="E11" s="36"/>
      <c r="F11" s="36"/>
    </row>
    <row r="12" customFormat="false" ht="30" hidden="false" customHeight="true" outlineLevel="0" collapsed="false">
      <c r="B12" s="7" t="s">
        <v>203</v>
      </c>
      <c r="C12" s="5" t="s">
        <v>204</v>
      </c>
      <c r="D12" s="13"/>
      <c r="E12" s="36"/>
      <c r="F12" s="36"/>
    </row>
    <row r="14" customFormat="false" ht="15" hidden="false" customHeight="true" outlineLevel="0" collapsed="false">
      <c r="B14" s="19" t="s">
        <v>205</v>
      </c>
      <c r="C14" s="19"/>
      <c r="D14" s="19"/>
      <c r="E14" s="19"/>
      <c r="F14" s="19"/>
    </row>
    <row r="15" customFormat="false" ht="15" hidden="false" customHeight="false" outlineLevel="0" collapsed="false">
      <c r="B15" s="19"/>
      <c r="C15" s="19"/>
      <c r="D15" s="19"/>
      <c r="E15" s="19"/>
      <c r="F15" s="19"/>
    </row>
  </sheetData>
  <mergeCells count="2">
    <mergeCell ref="B4:F5"/>
    <mergeCell ref="B14: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2026-08-16T06:11:34Z</dcterms:created>
  <dc:creator>openpyxl</dc:creator>
  <dc:description/>
  <dc:language>en-US</dc:language>
  <cp:lastModifiedBy/>
  <dcterms:modified xsi:type="dcterms:W3CDTF">2026-08-16T06:11:34Z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